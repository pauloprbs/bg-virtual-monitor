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ubrica Manual (Q01-Q15)" sheetId="1" state="visible" r:id="rId3"/>
    <sheet name="RAGAS Faithfulness (Q01-Q20)" sheetId="2" state="visible" r:id="rId4"/>
    <sheet name="Recall@k Trade-of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<sst xmlns="http://schemas.openxmlformats.org/spreadsheetml/2006/main" count="191" uniqueCount="107">
  <si>
    <t xml:space="preserve">BG Virtual Monitor — Rubrica de Avaliação Qualitativa</t>
  </si>
  <si>
    <t xml:space="preserve">Corpus: Brass Birmingham  |  Avaliador: Groq / Llama 3.1 8B  |  Escala: 0 = ruim, 1 = parcial, 2 = bom</t>
  </si>
  <si>
    <t xml:space="preserve">ID</t>
  </si>
  <si>
    <t xml:space="preserve">Categoria</t>
  </si>
  <si>
    <t xml:space="preserve">Pergunta</t>
  </si>
  <si>
    <t xml:space="preserve">Resposta do Bot (resumo)</t>
  </si>
  <si>
    <t xml:space="preserve">Groundedness
(0–2)</t>
  </si>
  <si>
    <t xml:space="preserve">Correção
(0–2)</t>
  </si>
  <si>
    <t xml:space="preserve">Citações
(0–2)</t>
  </si>
  <si>
    <t xml:space="preserve">Alucinação
(0–2)</t>
  </si>
  <si>
    <t xml:space="preserve">Total
(fórmula)</t>
  </si>
  <si>
    <t xml:space="preserve">Observações</t>
  </si>
  <si>
    <t xml:space="preserve">Q01</t>
  </si>
  <si>
    <t xml:space="preserve">Factual direta</t>
  </si>
  <si>
    <t xml:space="preserve">Como se consegue a vitória no jogo?</t>
  </si>
  <si>
    <t xml:space="preserve">A vitória no jogo é alcançada ao final da Era das Ferrovias. Para isso, você precisa acumular o maior número de Pontos de Vitória (PVs).   Os PVs são ganhos ao final de cada era pelas suas Peças de Conexão e Indústrias viradas.   Para finalizar, execute os seguintes passos:  1. P...</t>
  </si>
  <si>
    <t xml:space="preserve">Q02</t>
  </si>
  <si>
    <t xml:space="preserve">Quantos jogadores podem participar?</t>
  </si>
  <si>
    <t xml:space="preserve">De acordo com o manual, o jogo pode ser jogado com 2, 3 ou 4 jogadores.  FONTES: Página 1, Página 2, Página 4, Página 6, Página 12</t>
  </si>
  <si>
    <t xml:space="preserve">Q03</t>
  </si>
  <si>
    <t xml:space="preserve">O que posso fazer/executar no meu turno?</t>
  </si>
  <si>
    <t xml:space="preserve">No seu turno, você pode executar as seguintes ações:  1. **Construir**: Posicione uma de suas Indústrias no tabuleiro, pagando o custo apropriado e consumindo qualquer carvão/ferro requeridos. Nota: Somente Construir requer uma carta correspondente. 2. **Conectar**: Expanda sua r...</t>
  </si>
  <si>
    <t xml:space="preserve">Q04</t>
  </si>
  <si>
    <t xml:space="preserve">Como termina uma rodada?</t>
  </si>
  <si>
    <t xml:space="preserve">Uma rodada termina quando todos os jogadores terminam seus turnos. Em seguida, você deve executar os seguintes passos antes de dar continuidade à próxima rodada:  1. Determine a ordem de turno para a próxima rodada. 2. Reordene as Peças de Personagem na Trilha de Ordem de Turno....</t>
  </si>
  <si>
    <t xml:space="preserve">Q05</t>
  </si>
  <si>
    <t xml:space="preserve">Como é determinada a ordem dos turnos?</t>
  </si>
  <si>
    <t xml:space="preserve">A ordem dos turnos é determinada pela quantidade de dinheiro gasto por cada jogador em sua última ação. O jogador que menos gastou dinheiro será o primeiro na próxima rodada, e assim por diante, de modo que o jogador que mais gastou será o último.  Se diversos jogadores gastaram...</t>
  </si>
  <si>
    <t xml:space="preserve">Q06</t>
  </si>
  <si>
    <t xml:space="preserve">Componentes</t>
  </si>
  <si>
    <t xml:space="preserve">Quais são os componentes incluídos na caixa do jogo?</t>
  </si>
  <si>
    <t xml:space="preserve">A caixa do jogo Brass: Birmingham inclui os seguintes componentes:  1. Tabuleiro 2. 4 Tabuleiros de Jogador 3. 4 Peças de Personagem 4. 4 Marcadores de Renda 5. 8 Cartas Curinga (4 Locais Curinga, 4 Indústrias Curinga) 6. 64 Cartas de Local e Indústria 7. 4 Guias de Jogador 8. 4...</t>
  </si>
  <si>
    <t xml:space="preserve">Q07</t>
  </si>
  <si>
    <t xml:space="preserve">Para que serve o tabuleiro principal?</t>
  </si>
  <si>
    <t xml:space="preserve">O tabuleiro principal serve como uma representação da área de jogo, onde os jogadores expandem seus impérios e competem entre si. Ele contém espaços para construir indústrias, canais e ferrovias, além de áreas para vender produtos e consumir recursos.  O tabuleiro também serve co...</t>
  </si>
  <si>
    <t xml:space="preserve">Q08</t>
  </si>
  <si>
    <t xml:space="preserve">Multi-trecho</t>
  </si>
  <si>
    <t xml:space="preserve">O que acontece quando um jogador não pode executar uma ação por falta de recursos?</t>
  </si>
  <si>
    <t xml:space="preserve">Se um jogador não puder executar uma ação por falta de recursos, ele não pode realizar a ação. Em vez disso, ele precisa descartar uma carta da sua Mão para cada ação que não puder executar. Isso é mencionado na página 6 do manual: "Para cada ação que você executar, você precisa...</t>
  </si>
  <si>
    <t xml:space="preserve">Q09</t>
  </si>
  <si>
    <t xml:space="preserve">Como a pontuação final é calculada e quais elementos contribuem para ela?</t>
  </si>
  <si>
    <t xml:space="preserve">A pontuação final é calculada de acordo com as regras do jogo. Aqui estão os elementos que contribuem para a pontuação final:  1. **Pontuação por Conexões de Canal/Ferrovia**: Cada Peça de Conexão pontua 1 PV para cada uma das suas Peças de Conexão presentes em locais adjacentes....</t>
  </si>
  <si>
    <t xml:space="preserve">Q10</t>
  </si>
  <si>
    <t xml:space="preserve">Quando posso passar meu turno e o que isso implica?</t>
  </si>
  <si>
    <t xml:space="preserve">Você pode passar seu turno quando não tiver cartas suficientes para realizar as ações permitidas.  FONTES: Página 6, Página 8</t>
  </si>
  <si>
    <t xml:space="preserve">Q11</t>
  </si>
  <si>
    <t xml:space="preserve">Condição especial</t>
  </si>
  <si>
    <t xml:space="preserve">Como deve ser feita a preparação (setup) inicial dos componentes no tabuleiro?</t>
  </si>
  <si>
    <t xml:space="preserve">A preparação inicial dos componentes no tabuleiro é feita da seguinte forma:  1. Coloque o tabuleiro no lado diurno ou no lado noturno, à sua escolha. 2. Quando jogando com menos de 4 jogadores, remova todas as cartas e Peças de Mercador que mostrem uma quantidade de jogadores ma...</t>
  </si>
  <si>
    <t xml:space="preserve">2</t>
  </si>
  <si>
    <t xml:space="preserve">Q12</t>
  </si>
  <si>
    <t xml:space="preserve">O que acontece quando algum componente limitado do jogo é exaurido?</t>
  </si>
  <si>
    <t xml:space="preserve">Não há informações específicas sobre o que acontece quando algum componente limitado do jogo é exaurido. O manual não detalha esse ponto.  FONTES: Página 4, Página 6, Página 7, Página 8, Página 10</t>
  </si>
  <si>
    <t xml:space="preserve">Q13</t>
  </si>
  <si>
    <t xml:space="preserve">Existe alguma condição que encerra o jogo antes do fim previsto?</t>
  </si>
  <si>
    <t xml:space="preserve">Sim, existem algumas condições que podem encerrar o jogo antes do fim previsto. Aqui estão algumas delas:  1. **Fim da Era dos Canais**: Cada era acaba ao final da rodada em que todos os jogadores usaram as cartas finais de suas Mão. Quando isto ocorrer, o jogo passa para a próxi...</t>
  </si>
  <si>
    <t xml:space="preserve">Q14</t>
  </si>
  <si>
    <t xml:space="preserve">Fora do corpus</t>
  </si>
  <si>
    <t xml:space="preserve">O manual oferece alguma dica ou orientação estratégica para os jogadores?</t>
  </si>
  <si>
    <t xml:space="preserve">Sim, o manual oferece algumas dicas e orientações estratégicas para os jogadores. Aqui estão algumas delas:  1. **Não tenha medo de fazer empréstimos**: O manual diz que o nível de renda no final do jogo não vale PVs, então não é incomum que jogadores experientes vençam a partida...</t>
  </si>
  <si>
    <t xml:space="preserve">Q15</t>
  </si>
  <si>
    <t xml:space="preserve">Existe alguma expansão oficial para este jogo?</t>
  </si>
  <si>
    <t xml:space="preserve">Não há informações nos trechos fornecidos sobre expansões oficiais para o jogo Brass: Birmingham.  FONTES: Página 1, Página 2, Página 7, Página 8, Página 9, Página 11, Página 12</t>
  </si>
  <si>
    <t xml:space="preserve">MÉDIA DAS NOTAS (Q01–Q15)</t>
  </si>
  <si>
    <t xml:space="preserve">Legenda — Groundedness: resposta ancorada nos chunks? | Correção: correta dado o corpus? | Citações: cita adequadamente? | Alucinação: inventou algo? (2=não inventou, 0=inventou)</t>
  </si>
  <si>
    <t xml:space="preserve">BG Virtual Monitor — RAGAS Faithfulness por Questão</t>
  </si>
  <si>
    <t xml:space="preserve">Avaliador: Groq / Llama 3.1 8B Instant  |  Faithfulness Média: 0.7466</t>
  </si>
  <si>
    <t xml:space="preserve">Faithfulness</t>
  </si>
  <si>
    <t xml:space="preserve">Status</t>
  </si>
  <si>
    <t xml:space="preserve">Observação</t>
  </si>
  <si>
    <t xml:space="preserve">✅ Bom</t>
  </si>
  <si>
    <t xml:space="preserve">🟡 Parcial</t>
  </si>
  <si>
    <t xml:space="preserve">Aqui a resposta foi adequada, então poderia ser um faithfulness maior.</t>
  </si>
  <si>
    <t xml:space="preserve">⚠️ Baixo</t>
  </si>
  <si>
    <t xml:space="preserve">A referência estava completamente errada nesta pergunta….</t>
  </si>
  <si>
    <t xml:space="preserve">A referência aqui estava errada.</t>
  </si>
  <si>
    <t xml:space="preserve">Tanto o groundness quanto a correção aqui foram erradas.</t>
  </si>
  <si>
    <t xml:space="preserve">Q16</t>
  </si>
  <si>
    <t xml:space="preserve">Quanto tempo dura uma partida em média?</t>
  </si>
  <si>
    <t xml:space="preserve">Q17</t>
  </si>
  <si>
    <t xml:space="preserve">Penalidade</t>
  </si>
  <si>
    <t xml:space="preserve">O que acontece se um jogador cometer um erro em uma ação já executada?</t>
  </si>
  <si>
    <t xml:space="preserve">O manual não explicita muito bem… Mas tanto a resposta quanto a referência estavam válidas.</t>
  </si>
  <si>
    <t xml:space="preserve">Q18</t>
  </si>
  <si>
    <t xml:space="preserve">Ambígua/parcial</t>
  </si>
  <si>
    <t xml:space="preserve">O que acontece se dois jogadores empatarem na ordem de turno?</t>
  </si>
  <si>
    <t xml:space="preserve">Q19</t>
  </si>
  <si>
    <t xml:space="preserve">Posso executar a mesma ação mais de uma vez no mesmo turno?</t>
  </si>
  <si>
    <t xml:space="preserve">Q20</t>
  </si>
  <si>
    <t xml:space="preserve">Fim de jogo</t>
  </si>
  <si>
    <t xml:space="preserve">Quem é declarado vencedor em caso de empate na pontuação final?</t>
  </si>
  <si>
    <t xml:space="preserve">MÉDIA GERAL</t>
  </si>
  <si>
    <t xml:space="preserve">BG Virtual Monitor — Recall@k por Modo de Recuperação (Brass Birmingham)</t>
  </si>
  <si>
    <t xml:space="preserve">Modo</t>
  </si>
  <si>
    <t xml:space="preserve">Recall@3</t>
  </si>
  <si>
    <t xml:space="preserve">Recall@5</t>
  </si>
  <si>
    <t xml:space="preserve">Recall@10</t>
  </si>
  <si>
    <t xml:space="preserve">Trade-off observado</t>
  </si>
  <si>
    <t xml:space="preserve">Denso (baseline)</t>
  </si>
  <si>
    <t xml:space="preserve">1.00 (12/12)</t>
  </si>
  <si>
    <t xml:space="preserve">Recall máximo. Com query expansion recupera variações semânticas da pergunta.</t>
  </si>
  <si>
    <t xml:space="preserve">Esparso — BM25</t>
  </si>
  <si>
    <t xml:space="preserve">0.75 (9/12)</t>
  </si>
  <si>
    <t xml:space="preserve">Perde em perguntas semânticas. Ganha em termos exatos (nomes de peças, ações específicas).</t>
  </si>
  <si>
    <t xml:space="preserve">Híbrido — RRF</t>
  </si>
  <si>
    <t xml:space="preserve">Mantém recall máximo do modo denso e adiciona robustez léxica do BM25 via RRF.</t>
  </si>
  <si>
    <t xml:space="preserve">Nota: O modo esparso (BM25) perde recall em 3 perguntas cujas keywords semânticas não aparecem literalmente no corpus (ex: 'preparação', 'exaurido'). O híbrido recupera esses casos via busca densa, mantendo recall 1.0 em todos os k testados.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</si>
</sst>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7D4E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CE4EC"/>
        <bgColor rgb="FFF2F2F2"/>
      </patternFill>
    </fill>
    <fill>
      <patternFill patternType="solid">
        <fgColor rgb="FFD6E4F0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555555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75623"/>
      <rgbColor rgb="FF7D4E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C11" activeCellId="0" sqref="C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55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60" hidden="false" customHeight="true" outlineLevel="0" collapsed="false">
      <c r="A4" s="4" t="s">
        <v>12</v>
      </c>
      <c r="B4" s="5" t="s">
        <v>13</v>
      </c>
      <c r="C4" s="6" t="s">
        <v>14</v>
      </c>
      <c r="D4" s="6" t="s">
        <v>15</v>
      </c>
      <c r="E4" s="7" t="n">
        <v>2</v>
      </c>
      <c r="F4" s="7" t="n">
        <v>2</v>
      </c>
      <c r="G4" s="7" t="n">
        <v>2</v>
      </c>
      <c r="H4" s="7" t="n">
        <v>2</v>
      </c>
      <c r="I4" s="8" t="n">
        <f aca="false">E4+F4+G4+H4</f>
        <v>8</v>
      </c>
      <c r="J4" s="6"/>
    </row>
    <row r="5" customFormat="false" ht="60" hidden="false" customHeight="true" outlineLevel="0" collapsed="false">
      <c r="A5" s="9" t="s">
        <v>16</v>
      </c>
      <c r="B5" s="10" t="s">
        <v>13</v>
      </c>
      <c r="C5" s="11" t="s">
        <v>17</v>
      </c>
      <c r="D5" s="11" t="s">
        <v>18</v>
      </c>
      <c r="E5" s="7" t="n">
        <v>1</v>
      </c>
      <c r="F5" s="7" t="n">
        <v>2</v>
      </c>
      <c r="G5" s="7" t="n">
        <v>1</v>
      </c>
      <c r="H5" s="7" t="n">
        <v>1</v>
      </c>
      <c r="I5" s="8" t="n">
        <f aca="false">E5+F5+G5+H5</f>
        <v>5</v>
      </c>
      <c r="J5" s="11"/>
    </row>
    <row r="6" customFormat="false" ht="60" hidden="false" customHeight="true" outlineLevel="0" collapsed="false">
      <c r="A6" s="4" t="s">
        <v>19</v>
      </c>
      <c r="B6" s="5" t="s">
        <v>13</v>
      </c>
      <c r="C6" s="6" t="s">
        <v>20</v>
      </c>
      <c r="D6" s="6" t="s">
        <v>21</v>
      </c>
      <c r="E6" s="7" t="n">
        <v>2</v>
      </c>
      <c r="F6" s="7" t="n">
        <v>2</v>
      </c>
      <c r="G6" s="7" t="n">
        <v>2</v>
      </c>
      <c r="H6" s="7" t="n">
        <v>2</v>
      </c>
      <c r="I6" s="8" t="n">
        <f aca="false">E6+F6+G6+H6</f>
        <v>8</v>
      </c>
      <c r="J6" s="6"/>
    </row>
    <row r="7" customFormat="false" ht="60" hidden="false" customHeight="true" outlineLevel="0" collapsed="false">
      <c r="A7" s="9" t="s">
        <v>22</v>
      </c>
      <c r="B7" s="10" t="s">
        <v>13</v>
      </c>
      <c r="C7" s="11" t="s">
        <v>23</v>
      </c>
      <c r="D7" s="11" t="s">
        <v>24</v>
      </c>
      <c r="E7" s="7" t="n">
        <v>2</v>
      </c>
      <c r="F7" s="7" t="n">
        <v>2</v>
      </c>
      <c r="G7" s="7" t="n">
        <v>2</v>
      </c>
      <c r="H7" s="7" t="n">
        <v>2</v>
      </c>
      <c r="I7" s="8" t="n">
        <f aca="false">E7+F7+G7+H7</f>
        <v>8</v>
      </c>
      <c r="J7" s="11"/>
    </row>
    <row r="8" customFormat="false" ht="60" hidden="false" customHeight="true" outlineLevel="0" collapsed="false">
      <c r="A8" s="4" t="s">
        <v>25</v>
      </c>
      <c r="B8" s="5" t="s">
        <v>13</v>
      </c>
      <c r="C8" s="6" t="s">
        <v>26</v>
      </c>
      <c r="D8" s="6" t="s">
        <v>27</v>
      </c>
      <c r="E8" s="7" t="n">
        <v>2</v>
      </c>
      <c r="F8" s="7" t="n">
        <v>2</v>
      </c>
      <c r="G8" s="7" t="n">
        <v>1</v>
      </c>
      <c r="H8" s="7" t="n">
        <v>2</v>
      </c>
      <c r="I8" s="8" t="n">
        <f aca="false">E8+F8+G8+H8</f>
        <v>7</v>
      </c>
      <c r="J8" s="6"/>
    </row>
    <row r="9" customFormat="false" ht="60" hidden="false" customHeight="true" outlineLevel="0" collapsed="false">
      <c r="A9" s="9" t="s">
        <v>28</v>
      </c>
      <c r="B9" s="10" t="s">
        <v>29</v>
      </c>
      <c r="C9" s="11" t="s">
        <v>30</v>
      </c>
      <c r="D9" s="11" t="s">
        <v>31</v>
      </c>
      <c r="E9" s="7" t="n">
        <v>2</v>
      </c>
      <c r="F9" s="7" t="n">
        <v>2</v>
      </c>
      <c r="G9" s="7" t="n">
        <v>1</v>
      </c>
      <c r="H9" s="7" t="n">
        <v>1</v>
      </c>
      <c r="I9" s="8" t="n">
        <f aca="false">E9+F9+G9+H9</f>
        <v>6</v>
      </c>
      <c r="J9" s="11"/>
    </row>
    <row r="10" customFormat="false" ht="60" hidden="false" customHeight="true" outlineLevel="0" collapsed="false">
      <c r="A10" s="4" t="s">
        <v>32</v>
      </c>
      <c r="B10" s="5" t="s">
        <v>29</v>
      </c>
      <c r="C10" s="6" t="s">
        <v>33</v>
      </c>
      <c r="D10" s="6" t="s">
        <v>34</v>
      </c>
      <c r="E10" s="7" t="n">
        <v>2</v>
      </c>
      <c r="F10" s="7" t="n">
        <v>2</v>
      </c>
      <c r="G10" s="7" t="n">
        <v>1</v>
      </c>
      <c r="H10" s="7" t="n">
        <v>2</v>
      </c>
      <c r="I10" s="8" t="n">
        <f aca="false">E10+F10+G10+H10</f>
        <v>7</v>
      </c>
      <c r="J10" s="6"/>
    </row>
    <row r="11" customFormat="false" ht="60" hidden="false" customHeight="true" outlineLevel="0" collapsed="false">
      <c r="A11" s="9" t="s">
        <v>35</v>
      </c>
      <c r="B11" s="10" t="s">
        <v>36</v>
      </c>
      <c r="C11" s="11" t="s">
        <v>37</v>
      </c>
      <c r="D11" s="11" t="s">
        <v>38</v>
      </c>
      <c r="E11" s="7" t="n">
        <v>2</v>
      </c>
      <c r="F11" s="7" t="n">
        <v>2</v>
      </c>
      <c r="G11" s="7" t="n">
        <v>2</v>
      </c>
      <c r="H11" s="7" t="n">
        <v>2</v>
      </c>
      <c r="I11" s="8" t="n">
        <f aca="false">E11+F11+G11+H11</f>
        <v>8</v>
      </c>
      <c r="J11" s="11"/>
    </row>
    <row r="12" customFormat="false" ht="60" hidden="false" customHeight="true" outlineLevel="0" collapsed="false">
      <c r="A12" s="4" t="s">
        <v>39</v>
      </c>
      <c r="B12" s="5" t="s">
        <v>36</v>
      </c>
      <c r="C12" s="6" t="s">
        <v>40</v>
      </c>
      <c r="D12" s="6" t="s">
        <v>41</v>
      </c>
      <c r="E12" s="7" t="n">
        <v>2</v>
      </c>
      <c r="F12" s="7" t="n">
        <v>2</v>
      </c>
      <c r="G12" s="7" t="n">
        <v>2</v>
      </c>
      <c r="H12" s="7" t="n">
        <v>2</v>
      </c>
      <c r="I12" s="8" t="n">
        <f aca="false">E12+F12+G12+H12</f>
        <v>8</v>
      </c>
      <c r="J12" s="6"/>
    </row>
    <row r="13" customFormat="false" ht="60" hidden="false" customHeight="true" outlineLevel="0" collapsed="false">
      <c r="A13" s="9" t="s">
        <v>42</v>
      </c>
      <c r="B13" s="10" t="s">
        <v>36</v>
      </c>
      <c r="C13" s="11" t="s">
        <v>43</v>
      </c>
      <c r="D13" s="11" t="s">
        <v>44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f aca="false">E13+F13+G13+H13</f>
        <v>0</v>
      </c>
      <c r="J13" s="11"/>
    </row>
    <row r="14" customFormat="false" ht="60" hidden="false" customHeight="true" outlineLevel="0" collapsed="false">
      <c r="A14" s="4" t="s">
        <v>45</v>
      </c>
      <c r="B14" s="5" t="s">
        <v>46</v>
      </c>
      <c r="C14" s="6" t="s">
        <v>47</v>
      </c>
      <c r="D14" s="6" t="s">
        <v>48</v>
      </c>
      <c r="E14" s="7" t="s">
        <v>49</v>
      </c>
      <c r="F14" s="7" t="n">
        <v>2</v>
      </c>
      <c r="G14" s="7" t="n">
        <v>1</v>
      </c>
      <c r="H14" s="7" t="n">
        <v>2</v>
      </c>
      <c r="I14" s="8" t="n">
        <f aca="false">E14+F14+G14+H14</f>
        <v>7</v>
      </c>
      <c r="J14" s="6"/>
    </row>
    <row r="15" customFormat="false" ht="60" hidden="false" customHeight="true" outlineLevel="0" collapsed="false">
      <c r="A15" s="9" t="s">
        <v>50</v>
      </c>
      <c r="B15" s="10" t="s">
        <v>46</v>
      </c>
      <c r="C15" s="11" t="s">
        <v>51</v>
      </c>
      <c r="D15" s="11" t="s">
        <v>52</v>
      </c>
      <c r="E15" s="7" t="n">
        <v>2</v>
      </c>
      <c r="F15" s="7" t="n">
        <v>0</v>
      </c>
      <c r="G15" s="7" t="n">
        <v>0</v>
      </c>
      <c r="H15" s="7" t="n">
        <v>0</v>
      </c>
      <c r="I15" s="8" t="n">
        <f aca="false">E15+F15+G15+H15</f>
        <v>2</v>
      </c>
      <c r="J15" s="11"/>
    </row>
    <row r="16" customFormat="false" ht="60" hidden="false" customHeight="true" outlineLevel="0" collapsed="false">
      <c r="A16" s="4" t="s">
        <v>53</v>
      </c>
      <c r="B16" s="5" t="s">
        <v>46</v>
      </c>
      <c r="C16" s="6" t="s">
        <v>54</v>
      </c>
      <c r="D16" s="6" t="s">
        <v>55</v>
      </c>
      <c r="E16" s="7" t="n">
        <v>0</v>
      </c>
      <c r="F16" s="7" t="n">
        <v>0</v>
      </c>
      <c r="G16" s="7" t="n">
        <v>2</v>
      </c>
      <c r="H16" s="7" t="n">
        <v>0</v>
      </c>
      <c r="I16" s="8" t="n">
        <f aca="false">E16+F16+G16+H16</f>
        <v>2</v>
      </c>
      <c r="J16" s="6"/>
    </row>
    <row r="17" customFormat="false" ht="60" hidden="false" customHeight="true" outlineLevel="0" collapsed="false">
      <c r="A17" s="9" t="s">
        <v>56</v>
      </c>
      <c r="B17" s="10" t="s">
        <v>57</v>
      </c>
      <c r="C17" s="11" t="s">
        <v>58</v>
      </c>
      <c r="D17" s="11" t="s">
        <v>59</v>
      </c>
      <c r="E17" s="7" t="n">
        <v>2</v>
      </c>
      <c r="F17" s="7" t="n">
        <v>2</v>
      </c>
      <c r="G17" s="7" t="n">
        <v>2</v>
      </c>
      <c r="H17" s="7" t="n">
        <v>2</v>
      </c>
      <c r="I17" s="8" t="n">
        <f aca="false">E17+F17+G17+H17</f>
        <v>8</v>
      </c>
      <c r="J17" s="11"/>
    </row>
    <row r="18" customFormat="false" ht="60" hidden="false" customHeight="true" outlineLevel="0" collapsed="false">
      <c r="A18" s="4" t="s">
        <v>60</v>
      </c>
      <c r="B18" s="5" t="s">
        <v>57</v>
      </c>
      <c r="C18" s="6" t="s">
        <v>61</v>
      </c>
      <c r="D18" s="6" t="s">
        <v>62</v>
      </c>
      <c r="E18" s="7" t="n">
        <v>0</v>
      </c>
      <c r="F18" s="7" t="n">
        <v>2</v>
      </c>
      <c r="G18" s="7" t="n">
        <v>2</v>
      </c>
      <c r="H18" s="7" t="n">
        <v>2</v>
      </c>
      <c r="I18" s="8" t="n">
        <f aca="false">E18+F18+G18+H18</f>
        <v>6</v>
      </c>
      <c r="J18" s="6"/>
    </row>
    <row r="19" customFormat="false" ht="21.75" hidden="false" customHeight="true" outlineLevel="0" collapsed="false">
      <c r="A19" s="12" t="s">
        <v>63</v>
      </c>
      <c r="B19" s="12"/>
      <c r="C19" s="12"/>
      <c r="D19" s="12"/>
      <c r="E19" s="13" t="n">
        <f aca="false">AVERAGE(E4:E18)</f>
        <v>1.5</v>
      </c>
      <c r="F19" s="13" t="n">
        <f aca="false">AVERAGE(F4:F18)</f>
        <v>1.6</v>
      </c>
      <c r="G19" s="13" t="n">
        <f aca="false">AVERAGE(G4:G18)</f>
        <v>1.4</v>
      </c>
      <c r="H19" s="13" t="n">
        <f aca="false">AVERAGE(H4:H18)</f>
        <v>1.46666666666667</v>
      </c>
      <c r="I19" s="13" t="n">
        <f aca="false">AVERAGE(I4:I18)</f>
        <v>6</v>
      </c>
      <c r="J19" s="14"/>
    </row>
    <row r="21" customFormat="false" ht="15" hidden="false" customHeight="false" outlineLevel="0" collapsed="false">
      <c r="A21" s="15" t="s">
        <v>64</v>
      </c>
      <c r="B21" s="15"/>
      <c r="C21" s="15"/>
      <c r="D21" s="15"/>
      <c r="E21" s="15"/>
      <c r="F21" s="15"/>
      <c r="G21" s="15"/>
      <c r="H21" s="15"/>
      <c r="I21" s="15"/>
      <c r="J21" s="15"/>
    </row>
  </sheetData>
  <mergeCells count="4">
    <mergeCell ref="A1:J1"/>
    <mergeCell ref="A2:J2"/>
    <mergeCell ref="A19:D19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20" activeCellId="0" sqref="F2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5"/>
  </cols>
  <sheetData>
    <row r="1" customFormat="false" ht="27.75" hidden="false" customHeight="true" outlineLevel="0" collapsed="false">
      <c r="A1" s="1" t="s">
        <v>65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16" t="s">
        <v>66</v>
      </c>
      <c r="B2" s="16"/>
      <c r="C2" s="16"/>
      <c r="D2" s="16"/>
      <c r="E2" s="16"/>
      <c r="F2" s="16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67</v>
      </c>
      <c r="E3" s="3" t="s">
        <v>68</v>
      </c>
      <c r="F3" s="3" t="s">
        <v>69</v>
      </c>
    </row>
    <row r="4" customFormat="false" ht="21.75" hidden="false" customHeight="true" outlineLevel="0" collapsed="false">
      <c r="A4" s="4" t="s">
        <v>12</v>
      </c>
      <c r="B4" s="5" t="s">
        <v>13</v>
      </c>
      <c r="C4" s="6" t="s">
        <v>14</v>
      </c>
      <c r="D4" s="17" t="n">
        <v>0.9091</v>
      </c>
      <c r="E4" s="18" t="s">
        <v>70</v>
      </c>
      <c r="F4" s="6"/>
    </row>
    <row r="5" customFormat="false" ht="21.75" hidden="false" customHeight="true" outlineLevel="0" collapsed="false">
      <c r="A5" s="9" t="s">
        <v>16</v>
      </c>
      <c r="B5" s="10" t="s">
        <v>13</v>
      </c>
      <c r="C5" s="11" t="s">
        <v>17</v>
      </c>
      <c r="D5" s="19" t="n">
        <v>0.75</v>
      </c>
      <c r="E5" s="20" t="s">
        <v>71</v>
      </c>
      <c r="F5" s="11" t="s">
        <v>72</v>
      </c>
    </row>
    <row r="6" customFormat="false" ht="21.75" hidden="false" customHeight="true" outlineLevel="0" collapsed="false">
      <c r="A6" s="4" t="s">
        <v>19</v>
      </c>
      <c r="B6" s="5" t="s">
        <v>13</v>
      </c>
      <c r="C6" s="6" t="s">
        <v>20</v>
      </c>
      <c r="D6" s="17" t="n">
        <v>0.875</v>
      </c>
      <c r="E6" s="18" t="s">
        <v>70</v>
      </c>
      <c r="F6" s="6"/>
    </row>
    <row r="7" customFormat="false" ht="21.75" hidden="false" customHeight="true" outlineLevel="0" collapsed="false">
      <c r="A7" s="9" t="s">
        <v>22</v>
      </c>
      <c r="B7" s="10" t="s">
        <v>13</v>
      </c>
      <c r="C7" s="11" t="s">
        <v>23</v>
      </c>
      <c r="D7" s="21" t="n">
        <v>0.9</v>
      </c>
      <c r="E7" s="18" t="s">
        <v>70</v>
      </c>
      <c r="F7" s="11"/>
    </row>
    <row r="8" customFormat="false" ht="21.75" hidden="false" customHeight="true" outlineLevel="0" collapsed="false">
      <c r="A8" s="4" t="s">
        <v>25</v>
      </c>
      <c r="B8" s="5" t="s">
        <v>13</v>
      </c>
      <c r="C8" s="6" t="s">
        <v>26</v>
      </c>
      <c r="D8" s="17" t="n">
        <v>0.8</v>
      </c>
      <c r="E8" s="18" t="s">
        <v>70</v>
      </c>
      <c r="F8" s="6"/>
    </row>
    <row r="9" customFormat="false" ht="21.75" hidden="false" customHeight="true" outlineLevel="0" collapsed="false">
      <c r="A9" s="9" t="s">
        <v>28</v>
      </c>
      <c r="B9" s="10" t="s">
        <v>29</v>
      </c>
      <c r="C9" s="11" t="s">
        <v>30</v>
      </c>
      <c r="D9" s="21" t="n">
        <v>1</v>
      </c>
      <c r="E9" s="18" t="s">
        <v>70</v>
      </c>
      <c r="F9" s="11"/>
    </row>
    <row r="10" customFormat="false" ht="21.75" hidden="false" customHeight="true" outlineLevel="0" collapsed="false">
      <c r="A10" s="4" t="s">
        <v>32</v>
      </c>
      <c r="B10" s="5" t="s">
        <v>29</v>
      </c>
      <c r="C10" s="6" t="s">
        <v>33</v>
      </c>
      <c r="D10" s="17" t="n">
        <v>1</v>
      </c>
      <c r="E10" s="18" t="s">
        <v>70</v>
      </c>
      <c r="F10" s="6"/>
    </row>
    <row r="11" customFormat="false" ht="21.75" hidden="false" customHeight="true" outlineLevel="0" collapsed="false">
      <c r="A11" s="9" t="s">
        <v>35</v>
      </c>
      <c r="B11" s="10" t="s">
        <v>36</v>
      </c>
      <c r="C11" s="11" t="s">
        <v>37</v>
      </c>
      <c r="D11" s="22" t="n">
        <v>0.3333</v>
      </c>
      <c r="E11" s="23" t="s">
        <v>73</v>
      </c>
      <c r="F11" s="11" t="s">
        <v>74</v>
      </c>
    </row>
    <row r="12" customFormat="false" ht="21.75" hidden="false" customHeight="true" outlineLevel="0" collapsed="false">
      <c r="A12" s="4" t="s">
        <v>39</v>
      </c>
      <c r="B12" s="5" t="s">
        <v>36</v>
      </c>
      <c r="C12" s="6" t="s">
        <v>40</v>
      </c>
      <c r="D12" s="24" t="n">
        <v>0.75</v>
      </c>
      <c r="E12" s="20" t="s">
        <v>71</v>
      </c>
      <c r="F12" s="6"/>
    </row>
    <row r="13" customFormat="false" ht="21.75" hidden="false" customHeight="true" outlineLevel="0" collapsed="false">
      <c r="A13" s="9" t="s">
        <v>42</v>
      </c>
      <c r="B13" s="10" t="s">
        <v>36</v>
      </c>
      <c r="C13" s="11" t="s">
        <v>43</v>
      </c>
      <c r="D13" s="19" t="n">
        <v>0.5</v>
      </c>
      <c r="E13" s="20" t="s">
        <v>71</v>
      </c>
      <c r="F13" s="11"/>
    </row>
    <row r="14" customFormat="false" ht="21.75" hidden="false" customHeight="true" outlineLevel="0" collapsed="false">
      <c r="A14" s="4" t="s">
        <v>45</v>
      </c>
      <c r="B14" s="5" t="s">
        <v>46</v>
      </c>
      <c r="C14" s="6" t="s">
        <v>47</v>
      </c>
      <c r="D14" s="24" t="n">
        <v>0.6667</v>
      </c>
      <c r="E14" s="20" t="s">
        <v>71</v>
      </c>
      <c r="F14" s="6"/>
    </row>
    <row r="15" customFormat="false" ht="21.75" hidden="false" customHeight="true" outlineLevel="0" collapsed="false">
      <c r="A15" s="9" t="s">
        <v>50</v>
      </c>
      <c r="B15" s="10" t="s">
        <v>46</v>
      </c>
      <c r="C15" s="11" t="s">
        <v>51</v>
      </c>
      <c r="D15" s="19" t="n">
        <v>0.75</v>
      </c>
      <c r="E15" s="20" t="s">
        <v>71</v>
      </c>
      <c r="F15" s="11"/>
    </row>
    <row r="16" customFormat="false" ht="21.75" hidden="false" customHeight="true" outlineLevel="0" collapsed="false">
      <c r="A16" s="4" t="s">
        <v>53</v>
      </c>
      <c r="B16" s="5" t="s">
        <v>46</v>
      </c>
      <c r="C16" s="6" t="s">
        <v>54</v>
      </c>
      <c r="D16" s="24" t="n">
        <v>0.75</v>
      </c>
      <c r="E16" s="20" t="s">
        <v>71</v>
      </c>
      <c r="F16" s="6" t="s">
        <v>75</v>
      </c>
    </row>
    <row r="17" customFormat="false" ht="21.75" hidden="false" customHeight="true" outlineLevel="0" collapsed="false">
      <c r="A17" s="9" t="s">
        <v>56</v>
      </c>
      <c r="B17" s="10" t="s">
        <v>57</v>
      </c>
      <c r="C17" s="11" t="s">
        <v>58</v>
      </c>
      <c r="D17" s="21" t="n">
        <v>0.9474</v>
      </c>
      <c r="E17" s="18" t="s">
        <v>70</v>
      </c>
      <c r="F17" s="11"/>
    </row>
    <row r="18" customFormat="false" ht="21.75" hidden="false" customHeight="true" outlineLevel="0" collapsed="false">
      <c r="A18" s="4" t="s">
        <v>60</v>
      </c>
      <c r="B18" s="5" t="s">
        <v>57</v>
      </c>
      <c r="C18" s="6" t="s">
        <v>61</v>
      </c>
      <c r="D18" s="25" t="n">
        <v>0</v>
      </c>
      <c r="E18" s="23" t="s">
        <v>73</v>
      </c>
      <c r="F18" s="6" t="s">
        <v>76</v>
      </c>
    </row>
    <row r="19" customFormat="false" ht="21.75" hidden="false" customHeight="true" outlineLevel="0" collapsed="false">
      <c r="A19" s="9" t="s">
        <v>77</v>
      </c>
      <c r="B19" s="10" t="s">
        <v>57</v>
      </c>
      <c r="C19" s="11" t="s">
        <v>78</v>
      </c>
      <c r="D19" s="21" t="n">
        <v>1</v>
      </c>
      <c r="E19" s="18" t="s">
        <v>70</v>
      </c>
      <c r="F19" s="11"/>
    </row>
    <row r="20" customFormat="false" ht="21.75" hidden="false" customHeight="true" outlineLevel="0" collapsed="false">
      <c r="A20" s="4" t="s">
        <v>79</v>
      </c>
      <c r="B20" s="5" t="s">
        <v>80</v>
      </c>
      <c r="C20" s="6" t="s">
        <v>81</v>
      </c>
      <c r="D20" s="25" t="n">
        <v>0.3333</v>
      </c>
      <c r="E20" s="23" t="s">
        <v>73</v>
      </c>
      <c r="F20" s="6" t="s">
        <v>82</v>
      </c>
    </row>
    <row r="21" customFormat="false" ht="21.75" hidden="false" customHeight="true" outlineLevel="0" collapsed="false">
      <c r="A21" s="9" t="s">
        <v>83</v>
      </c>
      <c r="B21" s="10" t="s">
        <v>84</v>
      </c>
      <c r="C21" s="11" t="s">
        <v>85</v>
      </c>
      <c r="D21" s="21" t="n">
        <v>1</v>
      </c>
      <c r="E21" s="18" t="s">
        <v>70</v>
      </c>
      <c r="F21" s="11"/>
    </row>
    <row r="22" customFormat="false" ht="21.75" hidden="false" customHeight="true" outlineLevel="0" collapsed="false">
      <c r="A22" s="4" t="s">
        <v>86</v>
      </c>
      <c r="B22" s="5" t="s">
        <v>84</v>
      </c>
      <c r="C22" s="6" t="s">
        <v>87</v>
      </c>
      <c r="D22" s="24" t="n">
        <v>0.6667</v>
      </c>
      <c r="E22" s="20" t="s">
        <v>71</v>
      </c>
      <c r="F22" s="6"/>
    </row>
    <row r="23" customFormat="false" ht="21.75" hidden="false" customHeight="true" outlineLevel="0" collapsed="false">
      <c r="A23" s="9" t="s">
        <v>88</v>
      </c>
      <c r="B23" s="10" t="s">
        <v>89</v>
      </c>
      <c r="C23" s="11" t="s">
        <v>90</v>
      </c>
      <c r="D23" s="21" t="n">
        <v>1</v>
      </c>
      <c r="E23" s="18" t="s">
        <v>70</v>
      </c>
      <c r="F23" s="11"/>
    </row>
    <row r="24" customFormat="false" ht="15" hidden="false" customHeight="true" outlineLevel="0" collapsed="false">
      <c r="A24" s="12" t="s">
        <v>91</v>
      </c>
      <c r="B24" s="12"/>
      <c r="C24" s="12"/>
      <c r="D24" s="26" t="n">
        <f aca="false">AVERAGE(D4:D23)</f>
        <v>0.746575</v>
      </c>
      <c r="E24" s="27"/>
      <c r="F24" s="27"/>
    </row>
  </sheetData>
  <mergeCells count="3">
    <mergeCell ref="A1:F1"/>
    <mergeCell ref="A2:F2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</row>
    <row r="3" customFormat="false" ht="39.75" hidden="false" customHeight="true" outlineLevel="0" collapsed="false">
      <c r="A3" s="28" t="s">
        <v>98</v>
      </c>
      <c r="B3" s="29" t="s">
        <v>99</v>
      </c>
      <c r="C3" s="29" t="s">
        <v>99</v>
      </c>
      <c r="D3" s="29" t="s">
        <v>99</v>
      </c>
      <c r="E3" s="29" t="s">
        <v>100</v>
      </c>
    </row>
    <row r="4" customFormat="false" ht="39.75" hidden="false" customHeight="true" outlineLevel="0" collapsed="false">
      <c r="A4" s="30" t="s">
        <v>101</v>
      </c>
      <c r="B4" s="20" t="s">
        <v>102</v>
      </c>
      <c r="C4" s="20" t="s">
        <v>102</v>
      </c>
      <c r="D4" s="20" t="s">
        <v>102</v>
      </c>
      <c r="E4" s="20" t="s">
        <v>103</v>
      </c>
    </row>
    <row r="5" customFormat="false" ht="39.75" hidden="false" customHeight="true" outlineLevel="0" collapsed="false">
      <c r="A5" s="31" t="s">
        <v>104</v>
      </c>
      <c r="B5" s="18" t="s">
        <v>99</v>
      </c>
      <c r="C5" s="18" t="s">
        <v>99</v>
      </c>
      <c r="D5" s="18" t="s">
        <v>99</v>
      </c>
      <c r="E5" s="18" t="s">
        <v>105</v>
      </c>
    </row>
    <row r="7" customFormat="false" ht="48" hidden="false" customHeight="true" outlineLevel="0" collapsed="false">
      <c r="A7" s="32" t="s">
        <v>106</v>
      </c>
      <c r="B7" s="32"/>
      <c r="C7" s="32"/>
      <c r="D7" s="32"/>
      <c r="E7" s="32"/>
      <c r="F7" s="32"/>
      <c r="G7" s="32"/>
    </row>
  </sheetData>
  <mergeCells count="2">
    <mergeCell ref="A1:G1"/>
    <mergeCell ref="A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2026-04-02T01:58:32Z</dcterms:created>
  <dc:creator>openpyxl</dc:creator>
  <dc:description/>
  <dc:language>pt-BR</dc:language>
  <cp:lastModifiedBy/>
  <dcterms:modified xsi:type="dcterms:W3CDTF">2026-04-01T23:40:27Z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